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tor" sheetId="1" state="visible" r:id="rId3"/>
    <sheet name="Models" sheetId="2" state="visible" r:id="rId4"/>
    <sheet name="Sourc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Primary driver. IT load in megawatts. Gateway and Bedington are each ~600 MW.</t>
        </r>
      </text>
    </comment>
    <comment ref="C7" authorId="0">
      <text>
        <r>
          <rPr>
            <sz val="10"/>
            <rFont val="Arial"/>
            <family val="2"/>
          </rPr>
          <t xml:space="preserve">Type 'colo' for colocation/speculative (Penzance profile) or 'hyper' for hyperscale. Drives the ecosystem multiplier.</t>
        </r>
      </text>
    </comment>
    <comment ref="C8" authorId="0">
      <text>
        <r>
          <rPr>
            <sz val="10"/>
            <rFont val="Arial"/>
            <family val="2"/>
          </rPr>
          <t xml:space="preserve">Pick the model for spillover jobs. See Models sheet. Brookings is the most defensible in a hearing.</t>
        </r>
      </text>
    </comment>
    <comment ref="C11" authorId="0">
      <text>
        <r>
          <rPr>
            <sz val="10"/>
            <rFont val="Arial"/>
            <family val="2"/>
          </rPr>
          <t xml:space="preserve">Midpoint of 2025-26 announcements: CoreWeave ~2.0, Bedington ~1.7, Stargate ~2.5, Meta ~4.0 peak.</t>
        </r>
      </text>
    </comment>
    <comment ref="C12" authorId="0">
      <text>
        <r>
          <rPr>
            <sz val="10"/>
            <rFont val="Arial"/>
            <family val="2"/>
          </rPr>
          <t xml:space="preserve">ESTIMATE ONLY. No published coefficient exists. Adjust freely; do not present as sourced.</t>
        </r>
      </text>
    </comment>
    <comment ref="C13" authorId="0">
      <text>
        <r>
          <rPr>
            <sz val="10"/>
            <rFont val="Arial"/>
            <family val="2"/>
          </rPr>
          <t xml:space="preserve">Loose industry density. Square footage is a weak predictor of power; treat conversion as rough.</t>
        </r>
      </text>
    </comment>
    <comment ref="C14" authorId="0">
      <text>
        <r>
          <rPr>
            <sz val="10"/>
            <rFont val="Arial"/>
            <family val="2"/>
          </rPr>
          <t xml:space="preserve">Source: JLARC 2024, Report 598, Ch 2 (68% IT/mechanical equipment).</t>
        </r>
      </text>
    </comment>
    <comment ref="C15" authorId="0">
      <text>
        <r>
          <rPr>
            <sz val="10"/>
            <rFont val="Arial"/>
            <family val="2"/>
          </rPr>
          <t xml:space="preserve">Source: 2026 industry benchmarks, ~$8-12M/MW; $11.3M midpoint.</t>
        </r>
      </text>
    </comment>
    <comment ref="C16" authorId="0">
      <text>
        <r>
          <rPr>
            <sz val="10"/>
            <rFont val="Arial"/>
            <family val="2"/>
          </rPr>
          <t xml:space="preserve">Source: JLARC 2024 (equipment typically replaced every five years).</t>
        </r>
      </text>
    </comment>
    <comment ref="C19" authorId="0">
      <text>
        <r>
          <rPr>
            <sz val="10"/>
            <rFont val="Arial"/>
            <family val="2"/>
          </rPr>
          <t xml:space="preserve">~0.30/MW colocation, ~0.45/MW hyperscale. Anchored to Gateway and industry norms; JLARC cross-check on Calculator.</t>
        </r>
      </text>
    </comment>
    <comment ref="C20" authorId="0">
      <text>
        <r>
          <rPr>
            <sz val="10"/>
            <rFont val="Arial"/>
            <family val="2"/>
          </rPr>
          <t xml:space="preserve">Pulls base multiplier from Models sheet, plus a hyperscale uplift where the model distinguishes (Brookings).</t>
        </r>
      </text>
    </comment>
  </commentList>
</comments>
</file>

<file path=xl/sharedStrings.xml><?xml version="1.0" encoding="utf-8"?>
<sst xmlns="http://schemas.openxmlformats.org/spreadsheetml/2006/main" count="98" uniqueCount="93">
  <si>
    <t xml:space="preserve">DATA CENTER JOBS CALCULATOR</t>
  </si>
  <si>
    <t xml:space="preserve">RenUSA  |  Operations-inclusive employment model  |  Working tool</t>
  </si>
  <si>
    <t xml:space="preserve">INPUTS  (edit the blue cells)</t>
  </si>
  <si>
    <t xml:space="preserve">Capacity (MW)</t>
  </si>
  <si>
    <t xml:space="preserve">&lt;- enter MW here</t>
  </si>
  <si>
    <t xml:space="preserve">Building size (sq ft)</t>
  </si>
  <si>
    <t xml:space="preserve">derived from MW</t>
  </si>
  <si>
    <t xml:space="preserve">Facility type</t>
  </si>
  <si>
    <t xml:space="preserve">colo</t>
  </si>
  <si>
    <t xml:space="preserve">colo or hyper</t>
  </si>
  <si>
    <t xml:space="preserve">Indirect/induced model</t>
  </si>
  <si>
    <t xml:space="preserve">Brookings</t>
  </si>
  <si>
    <t xml:space="preserve">see Models sheet</t>
  </si>
  <si>
    <t xml:space="preserve">ADJUSTABLE ASSUMPTIONS  (blue = change for scenarios)</t>
  </si>
  <si>
    <t xml:space="preserve">Construction jobs per MW</t>
  </si>
  <si>
    <t xml:space="preserve">Refresh + smart-hands FTE per MW</t>
  </si>
  <si>
    <t xml:space="preserve">Sq ft per MW (density)</t>
  </si>
  <si>
    <t xml:space="preserve">Equipment share of capital</t>
  </si>
  <si>
    <t xml:space="preserve">Total build cost per MW ($M)</t>
  </si>
  <si>
    <t xml:space="preserve">Equipment refresh cycle (years)</t>
  </si>
  <si>
    <t xml:space="preserve">DERIVED COEFFICIENTS  (black = formula, do not edit)</t>
  </si>
  <si>
    <t xml:space="preserve">Permanent jobs per MW (by type)</t>
  </si>
  <si>
    <t xml:space="preserve">Spillover multiplier (from model)</t>
  </si>
  <si>
    <t xml:space="preserve">RESULTS</t>
  </si>
  <si>
    <t xml:space="preserve">Job category</t>
  </si>
  <si>
    <t xml:space="preserve">Jobs</t>
  </si>
  <si>
    <t xml:space="preserve">Tier</t>
  </si>
  <si>
    <t xml:space="preserve">Status</t>
  </si>
  <si>
    <t xml:space="preserve">Basis</t>
  </si>
  <si>
    <t xml:space="preserve">Permanent on-site (direct)</t>
  </si>
  <si>
    <t xml:space="preserve">1</t>
  </si>
  <si>
    <t xml:space="preserve">Anchored</t>
  </si>
  <si>
    <t xml:space="preserve">Direct employees at full build-out</t>
  </si>
  <si>
    <t xml:space="preserve">Construction (peak)</t>
  </si>
  <si>
    <t xml:space="preserve">Temporary; per-MW from announcements</t>
  </si>
  <si>
    <t xml:space="preserve">Refresh + smart-hands (FTE-eq)</t>
  </si>
  <si>
    <t xml:space="preserve">2</t>
  </si>
  <si>
    <t xml:space="preserve">ESTIMATE</t>
  </si>
  <si>
    <t xml:space="preserve">Recurring; FTE assumption, not sourced</t>
  </si>
  <si>
    <t xml:space="preserve">Indirect / induced (spillover)</t>
  </si>
  <si>
    <t xml:space="preserve">3</t>
  </si>
  <si>
    <t xml:space="preserve">Model-based</t>
  </si>
  <si>
    <t xml:space="preserve">Permanent x selected model multiplier</t>
  </si>
  <si>
    <t xml:space="preserve">Annual equipment churn ($B)</t>
  </si>
  <si>
    <t xml:space="preserve">JLARC 68% equip / 5-yr replace; drives FTE</t>
  </si>
  <si>
    <t xml:space="preserve">DEFENSIBLE ONGOING LOCAL TOTAL</t>
  </si>
  <si>
    <t xml:space="preserve">Permanent + selected model. Excludes temporary construction and the Tier 2 estimate.</t>
  </si>
  <si>
    <t xml:space="preserve">JLARC CROSS-CHECK (independent sanity check on Tier 1)</t>
  </si>
  <si>
    <t xml:space="preserve">Implied total on-site workers</t>
  </si>
  <si>
    <t xml:space="preserve">JLARC: ~50 workers per 250,000 sq ft</t>
  </si>
  <si>
    <t xml:space="preserve">  of which contract (excluded from official count)</t>
  </si>
  <si>
    <t xml:space="preserve">JLARC: about half are contract workers</t>
  </si>
  <si>
    <t xml:space="preserve">INDIRECT / INDUCED MODELS</t>
  </si>
  <si>
    <t xml:space="preserve">Spillover jobs per direct permanent job. Select one on the Calculator sheet.</t>
  </si>
  <si>
    <t xml:space="preserve">Model</t>
  </si>
  <si>
    <t xml:space="preserve">Type</t>
  </si>
  <si>
    <t xml:space="preserve">Base mult</t>
  </si>
  <si>
    <t xml:space="preserve">Hyper uplift</t>
  </si>
  <si>
    <t xml:space="preserve">Notes</t>
  </si>
  <si>
    <t xml:space="preserve">Independent, causal</t>
  </si>
  <si>
    <t xml:space="preserve">BLS data + synthetic control (2026). Lowest and hardest to attack. Hyper uplift to ~1.6x total.</t>
  </si>
  <si>
    <t xml:space="preserve">JLARC</t>
  </si>
  <si>
    <t xml:space="preserve">VA government, IMPLAN</t>
  </si>
  <si>
    <t xml:space="preserve">Weldon Cooper Center for the VA General Assembly (2024). Blended; mixes construction and operations.</t>
  </si>
  <si>
    <t xml:space="preserve">Mangum</t>
  </si>
  <si>
    <t xml:space="preserve">Independent, state</t>
  </si>
  <si>
    <t xml:space="preserve">IMPLAN (2023), ~3.5 spillover per VA data center job, excludes construction.</t>
  </si>
  <si>
    <t xml:space="preserve">ORVI</t>
  </si>
  <si>
    <t xml:space="preserve">Skeptic, state floor</t>
  </si>
  <si>
    <t xml:space="preserve">Ohio River Valley Institute; cites IMPLAN's own 2-3 state-multiplier guidance.</t>
  </si>
  <si>
    <t xml:space="preserve">PwC</t>
  </si>
  <si>
    <t xml:space="preserve">Industry, national</t>
  </si>
  <si>
    <t xml:space="preserve">PwC for the Data Center Coalition (2023/25), ~6-7.5x national. Industry-funded; hide in public use.</t>
  </si>
  <si>
    <t xml:space="preserve">The cross-cutting critique: all IMPLAN/RIMS models (JLARC, Mangum, ORVI, PwC) add and never subtract; they ignore opportunity cost and, per JLARC's own note, exclude externalities (carbon, health). Brookings measures a causal counterfactual, which is why it runs lowest and is the most defensible in a hearing.</t>
  </si>
  <si>
    <t xml:space="preserve">SOURCES &amp; METHOD NOTES</t>
  </si>
  <si>
    <t xml:space="preserve">JLARC 2024 (Report 598)</t>
  </si>
  <si>
    <t xml:space="preserve">Virginia General Assembly legislative commission. Source for per-facility staffing (~50 workers / 250k sq ft, half contract), 68% equipment capital split, 5-year replacement cycle, statewide impact totals, and the IMPLAN externalities caveat.</t>
  </si>
  <si>
    <t xml:space="preserve">Brookings 2026</t>
  </si>
  <si>
    <t xml:space="preserve">Bahar &amp; Wright, 'New evidence on data center employment effects.' BLS data, synthetic control method. Independent and causal.</t>
  </si>
  <si>
    <t xml:space="preserve">Mangum Economics 2023</t>
  </si>
  <si>
    <t xml:space="preserve">Virginia data center impact analysis. IMPLAN. ~3.5 spillover jobs per direct job, excluding construction.</t>
  </si>
  <si>
    <t xml:space="preserve">Ohio River Valley Institute</t>
  </si>
  <si>
    <t xml:space="preserve">Skeptic analysis citing IMPLAN's own guidance that state job multipliers usually fall between 2 and 3.</t>
  </si>
  <si>
    <t xml:space="preserve">PwC / Data Center Coalition</t>
  </si>
  <si>
    <t xml:space="preserve">2023 and 2025 impact studies. IMPLAN. ~6-7.5x national multiplier. Industry-commissioned.</t>
  </si>
  <si>
    <t xml:space="preserve">Construction anchors</t>
  </si>
  <si>
    <t xml:space="preserve">2025-26 announcements: CoreWeave Lancaster (~2.0/MW), Bedington (~1.7/MW), Stargate Michigan (~2.5/MW), Meta El Paso (~4.0/MW peak).</t>
  </si>
  <si>
    <t xml:space="preserve">Build cost / MW</t>
  </si>
  <si>
    <t xml:space="preserve">2026 industry benchmarks, ~$8-12M/MW standard; $11.3M midpoint used.</t>
  </si>
  <si>
    <t xml:space="preserve">Method caveat</t>
  </si>
  <si>
    <t xml:space="preserve">Model multipliers are simplified to single per-direct-job factors for quick comparison. Source studies use fuller input-output structures. Cite the source study, not this tool's factor, in formal settings.</t>
  </si>
  <si>
    <t xml:space="preserve">Color key</t>
  </si>
  <si>
    <t xml:space="preserve">Blue = editable input. Black = formula. Green = pulled from another sheet. Amber rows = estimate, handle with care.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</si>
</sst>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"/>
    <numFmt numFmtId="167" formatCode="0.00"/>
    <numFmt numFmtId="168" formatCode="0.0%"/>
    <numFmt numFmtId="169" formatCode="0"/>
    <numFmt numFmtId="170" formatCode="\$0.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A3161"/>
      <name val="Arial"/>
      <family val="0"/>
      <charset val="1"/>
    </font>
    <font>
      <sz val="9"/>
      <color rgb="FF5F5F5F"/>
      <name val="Arial"/>
      <family val="0"/>
      <charset val="1"/>
    </font>
    <font>
      <b val="true"/>
      <sz val="11"/>
      <color rgb="FF0A316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A316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854F0B"/>
      <name val="Arial"/>
      <family val="0"/>
      <charset val="1"/>
    </font>
    <font>
      <b val="true"/>
      <sz val="11"/>
      <color rgb="FF854F0B"/>
      <name val="Arial"/>
      <family val="0"/>
      <charset val="1"/>
    </font>
    <font>
      <b val="true"/>
      <sz val="14"/>
      <color rgb="FF0A3161"/>
      <name val="Arial"/>
      <family val="0"/>
      <charset val="1"/>
    </font>
    <font>
      <sz val="10"/>
      <name val="Arial"/>
      <family val="2"/>
    </font>
    <font>
      <b val="true"/>
      <sz val="10"/>
      <color rgb="FF000000"/>
      <name val="Arial"/>
      <family val="0"/>
      <charset val="1"/>
    </font>
    <font>
      <sz val="9"/>
      <color rgb="FF854F0B"/>
      <name val="Arial"/>
      <family val="0"/>
      <charset val="1"/>
    </font>
    <font>
      <b val="true"/>
      <sz val="10"/>
      <color rgb="FF0A3161"/>
      <name val="Arial"/>
      <family val="0"/>
      <charset val="1"/>
    </font>
    <font>
      <sz val="9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0EEE8"/>
        <bgColor rgb="FFFAEEDA"/>
      </patternFill>
    </fill>
    <fill>
      <patternFill patternType="solid">
        <fgColor rgb="FF0A3161"/>
        <bgColor rgb="FF333333"/>
      </patternFill>
    </fill>
    <fill>
      <patternFill patternType="solid">
        <fgColor rgb="FFF7F6F2"/>
        <bgColor rgb="FFF0EEE8"/>
      </patternFill>
    </fill>
    <fill>
      <patternFill patternType="solid">
        <fgColor rgb="FFFFFFFF"/>
        <bgColor rgb="FFF7F6F2"/>
      </patternFill>
    </fill>
    <fill>
      <patternFill patternType="solid">
        <fgColor rgb="FFFAEEDA"/>
        <bgColor rgb="FFF0EEE8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A3161"/>
      </bottom>
      <diagonal/>
    </border>
    <border diagonalUp="false" diagonalDown="false">
      <left style="thin">
        <color rgb="FFD8D6CF"/>
      </left>
      <right style="thin">
        <color rgb="FFD8D6CF"/>
      </right>
      <top style="thin">
        <color rgb="FFD8D6CF"/>
      </top>
      <bottom style="thin">
        <color rgb="FFD8D6CF"/>
      </bottom>
      <diagonal/>
    </border>
    <border diagonalUp="false" diagonalDown="false">
      <left style="thin">
        <color rgb="FFD8D6CF"/>
      </left>
      <right/>
      <top style="thin">
        <color rgb="FFD8D6CF"/>
      </top>
      <bottom style="thin">
        <color rgb="FFD8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6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EEDA"/>
      <rgbColor rgb="FFF0EEE8"/>
      <rgbColor rgb="FF660066"/>
      <rgbColor rgb="FFFF8080"/>
      <rgbColor rgb="FF0066CC"/>
      <rgbColor rgb="FFD8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6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F5F"/>
      <rgbColor rgb="FF969696"/>
      <rgbColor rgb="FF0A3161"/>
      <rgbColor rgb="FF339966"/>
      <rgbColor rgb="FF003300"/>
      <rgbColor rgb="FF333300"/>
      <rgbColor rgb="FF854F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4"/>
    <col collapsed="false" customWidth="true" hidden="false" outlineLevel="0" max="5" min="3" style="0" width="16"/>
    <col collapsed="false" customWidth="true" hidden="false" outlineLevel="0" max="6" min="6" style="0" width="30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</row>
    <row r="2" customFormat="false" ht="15" hidden="false" customHeight="false" outlineLevel="0" collapsed="false">
      <c r="B2" s="2" t="s">
        <v>1</v>
      </c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  <c r="C4" s="3"/>
      <c r="D4" s="3"/>
      <c r="E4" s="3"/>
      <c r="F4" s="3"/>
    </row>
    <row r="5" customFormat="false" ht="15" hidden="false" customHeight="false" outlineLevel="0" collapsed="false">
      <c r="B5" s="4" t="s">
        <v>3</v>
      </c>
      <c r="C5" s="5" t="n">
        <v>600</v>
      </c>
      <c r="D5" s="6" t="s">
        <v>4</v>
      </c>
    </row>
    <row r="6" customFormat="false" ht="15" hidden="false" customHeight="false" outlineLevel="0" collapsed="false">
      <c r="B6" s="4" t="s">
        <v>5</v>
      </c>
      <c r="C6" s="7" t="n">
        <f aca="false">$C$5*$C$13</f>
        <v>2100000</v>
      </c>
      <c r="D6" s="6" t="s">
        <v>6</v>
      </c>
    </row>
    <row r="7" customFormat="false" ht="15" hidden="false" customHeight="false" outlineLevel="0" collapsed="false">
      <c r="B7" s="4" t="s">
        <v>7</v>
      </c>
      <c r="C7" s="8" t="s">
        <v>8</v>
      </c>
      <c r="D7" s="6" t="s">
        <v>9</v>
      </c>
    </row>
    <row r="8" customFormat="false" ht="15" hidden="false" customHeight="false" outlineLevel="0" collapsed="false">
      <c r="B8" s="4" t="s">
        <v>10</v>
      </c>
      <c r="C8" s="8" t="s">
        <v>11</v>
      </c>
      <c r="D8" s="6" t="s">
        <v>12</v>
      </c>
    </row>
    <row r="10" customFormat="false" ht="15" hidden="false" customHeight="false" outlineLevel="0" collapsed="false">
      <c r="B10" s="3" t="s">
        <v>13</v>
      </c>
      <c r="C10" s="3"/>
      <c r="D10" s="3"/>
      <c r="E10" s="3"/>
      <c r="F10" s="3"/>
    </row>
    <row r="11" customFormat="false" ht="15" hidden="false" customHeight="false" outlineLevel="0" collapsed="false">
      <c r="B11" s="4" t="s">
        <v>14</v>
      </c>
      <c r="C11" s="9" t="n">
        <v>2</v>
      </c>
    </row>
    <row r="12" customFormat="false" ht="15" hidden="false" customHeight="false" outlineLevel="0" collapsed="false">
      <c r="B12" s="4" t="s">
        <v>15</v>
      </c>
      <c r="C12" s="10" t="n">
        <v>0.15</v>
      </c>
    </row>
    <row r="13" customFormat="false" ht="15" hidden="false" customHeight="false" outlineLevel="0" collapsed="false">
      <c r="B13" s="4" t="s">
        <v>16</v>
      </c>
      <c r="C13" s="11" t="n">
        <v>3500</v>
      </c>
    </row>
    <row r="14" customFormat="false" ht="15" hidden="false" customHeight="false" outlineLevel="0" collapsed="false">
      <c r="B14" s="4" t="s">
        <v>17</v>
      </c>
      <c r="C14" s="12" t="n">
        <v>0.68</v>
      </c>
    </row>
    <row r="15" customFormat="false" ht="15" hidden="false" customHeight="false" outlineLevel="0" collapsed="false">
      <c r="B15" s="4" t="s">
        <v>18</v>
      </c>
      <c r="C15" s="9" t="n">
        <v>11.3</v>
      </c>
    </row>
    <row r="16" customFormat="false" ht="15" hidden="false" customHeight="false" outlineLevel="0" collapsed="false">
      <c r="B16" s="4" t="s">
        <v>19</v>
      </c>
      <c r="C16" s="13" t="n">
        <v>5</v>
      </c>
    </row>
    <row r="18" customFormat="false" ht="15" hidden="false" customHeight="false" outlineLevel="0" collapsed="false">
      <c r="B18" s="3" t="s">
        <v>20</v>
      </c>
      <c r="C18" s="3"/>
      <c r="D18" s="3"/>
      <c r="E18" s="3"/>
      <c r="F18" s="3"/>
    </row>
    <row r="19" customFormat="false" ht="15" hidden="false" customHeight="false" outlineLevel="0" collapsed="false">
      <c r="B19" s="4" t="s">
        <v>21</v>
      </c>
      <c r="C19" s="14" t="n">
        <f aca="false">IF($C$7="hyper",0.45,0.3)</f>
        <v>0.3</v>
      </c>
    </row>
    <row r="20" customFormat="false" ht="15" hidden="false" customHeight="false" outlineLevel="0" collapsed="false">
      <c r="B20" s="4" t="s">
        <v>22</v>
      </c>
      <c r="C20" s="15" t="n">
        <f aca="false">INDEX(Models!$D$4:$D$8,MATCH($C$8,Models!$B$4:$B$8,0))+IF($C$7="hyper",INDEX(Models!$E$4:$E$8,MATCH($C$8,Models!$B$4:$B$8,0)),0)</f>
        <v>0.6</v>
      </c>
    </row>
    <row r="22" customFormat="false" ht="21.75" hidden="false" customHeight="true" outlineLevel="0" collapsed="false">
      <c r="B22" s="16" t="s">
        <v>23</v>
      </c>
      <c r="C22" s="16"/>
      <c r="D22" s="16"/>
      <c r="E22" s="16"/>
      <c r="F22" s="16"/>
    </row>
    <row r="23" customFormat="false" ht="15" hidden="false" customHeight="false" outlineLevel="0" collapsed="false">
      <c r="B23" s="17" t="s">
        <v>24</v>
      </c>
      <c r="C23" s="18" t="s">
        <v>25</v>
      </c>
      <c r="D23" s="18" t="s">
        <v>26</v>
      </c>
      <c r="E23" s="18" t="s">
        <v>27</v>
      </c>
      <c r="F23" s="17" t="s">
        <v>28</v>
      </c>
    </row>
    <row r="24" customFormat="false" ht="15" hidden="false" customHeight="false" outlineLevel="0" collapsed="false">
      <c r="B24" s="19" t="s">
        <v>29</v>
      </c>
      <c r="C24" s="20" t="n">
        <f aca="false">$C$5*$C$19</f>
        <v>180</v>
      </c>
      <c r="D24" s="21" t="s">
        <v>30</v>
      </c>
      <c r="E24" s="22" t="s">
        <v>31</v>
      </c>
      <c r="F24" s="23" t="s">
        <v>32</v>
      </c>
    </row>
    <row r="25" customFormat="false" ht="15" hidden="false" customHeight="false" outlineLevel="0" collapsed="false">
      <c r="B25" s="24" t="s">
        <v>33</v>
      </c>
      <c r="C25" s="25" t="n">
        <f aca="false">$C$5*$C$11</f>
        <v>1200</v>
      </c>
      <c r="D25" s="26" t="s">
        <v>30</v>
      </c>
      <c r="E25" s="27" t="s">
        <v>31</v>
      </c>
      <c r="F25" s="28" t="s">
        <v>34</v>
      </c>
    </row>
    <row r="26" customFormat="false" ht="15" hidden="false" customHeight="false" outlineLevel="0" collapsed="false">
      <c r="B26" s="29" t="s">
        <v>35</v>
      </c>
      <c r="C26" s="30" t="n">
        <f aca="false">$C$5*$C$12</f>
        <v>90</v>
      </c>
      <c r="D26" s="31" t="s">
        <v>36</v>
      </c>
      <c r="E26" s="32" t="s">
        <v>37</v>
      </c>
      <c r="F26" s="33" t="s">
        <v>38</v>
      </c>
    </row>
    <row r="27" customFormat="false" ht="15" hidden="false" customHeight="false" outlineLevel="0" collapsed="false">
      <c r="B27" s="24" t="s">
        <v>39</v>
      </c>
      <c r="C27" s="25" t="n">
        <f aca="false">$C$5*$C$19*$C$20</f>
        <v>108</v>
      </c>
      <c r="D27" s="26" t="s">
        <v>40</v>
      </c>
      <c r="E27" s="27" t="s">
        <v>41</v>
      </c>
      <c r="F27" s="28" t="s">
        <v>42</v>
      </c>
    </row>
    <row r="28" customFormat="false" ht="15" hidden="false" customHeight="false" outlineLevel="0" collapsed="false">
      <c r="B28" s="29" t="s">
        <v>43</v>
      </c>
      <c r="C28" s="34" t="n">
        <f aca="false">($C$5*$C$15*$C$14)/$C$16/1000</f>
        <v>0.92208</v>
      </c>
      <c r="D28" s="31" t="s">
        <v>36</v>
      </c>
      <c r="E28" s="35" t="s">
        <v>31</v>
      </c>
      <c r="F28" s="33" t="s">
        <v>44</v>
      </c>
    </row>
    <row r="30" customFormat="false" ht="27.75" hidden="false" customHeight="true" outlineLevel="0" collapsed="false">
      <c r="B30" s="36" t="s">
        <v>45</v>
      </c>
      <c r="C30" s="37" t="n">
        <f aca="false">$C$24+$C$27</f>
        <v>288</v>
      </c>
      <c r="D30" s="38" t="s">
        <v>46</v>
      </c>
      <c r="E30" s="38"/>
      <c r="F30" s="38"/>
    </row>
    <row r="32" customFormat="false" ht="15" hidden="false" customHeight="false" outlineLevel="0" collapsed="false">
      <c r="B32" s="3" t="s">
        <v>47</v>
      </c>
      <c r="C32" s="3"/>
      <c r="D32" s="3"/>
      <c r="E32" s="3"/>
      <c r="F32" s="3"/>
    </row>
    <row r="33" customFormat="false" ht="15" hidden="false" customHeight="false" outlineLevel="0" collapsed="false">
      <c r="B33" s="4" t="s">
        <v>48</v>
      </c>
      <c r="C33" s="7" t="n">
        <f aca="false">($C$6/250000)*50</f>
        <v>420</v>
      </c>
      <c r="F33" s="6" t="s">
        <v>49</v>
      </c>
    </row>
    <row r="34" customFormat="false" ht="15" hidden="false" customHeight="false" outlineLevel="0" collapsed="false">
      <c r="B34" s="4" t="s">
        <v>50</v>
      </c>
      <c r="C34" s="7" t="n">
        <f aca="false">(($C$6/250000)*50)*0.5</f>
        <v>210</v>
      </c>
      <c r="F34" s="6" t="s">
        <v>51</v>
      </c>
    </row>
  </sheetData>
  <mergeCells count="8">
    <mergeCell ref="B1:F1"/>
    <mergeCell ref="B2:F2"/>
    <mergeCell ref="B4:F4"/>
    <mergeCell ref="B10:F10"/>
    <mergeCell ref="B18:F18"/>
    <mergeCell ref="B22:F22"/>
    <mergeCell ref="D30:F30"/>
    <mergeCell ref="B32:F32"/>
  </mergeCells>
  <dataValidations count="2">
    <dataValidation allowBlank="false" errorStyle="stop" operator="between" showDropDown="false" showErrorMessage="false" showInputMessage="false" sqref="C7" type="list">
      <formula1>"colo,hyper"</formula1>
      <formula2>0</formula2>
    </dataValidation>
    <dataValidation allowBlank="false" errorStyle="stop" operator="between" showDropDown="false" showErrorMessage="false" showInputMessage="false" sqref="C8" type="list">
      <formula1>"Brookings,JLARC,Mangum,ORVI,PwC"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40"/>
  </cols>
  <sheetData>
    <row r="1" customFormat="false" ht="24" hidden="false" customHeight="true" outlineLevel="0" collapsed="false">
      <c r="B1" s="39" t="s">
        <v>52</v>
      </c>
      <c r="C1" s="39"/>
      <c r="D1" s="39"/>
      <c r="E1" s="39"/>
      <c r="F1" s="39"/>
    </row>
    <row r="2" customFormat="false" ht="15" hidden="false" customHeight="false" outlineLevel="0" collapsed="false">
      <c r="B2" s="40" t="s">
        <v>53</v>
      </c>
      <c r="C2" s="40"/>
      <c r="D2" s="40"/>
      <c r="E2" s="40"/>
      <c r="F2" s="40"/>
    </row>
    <row r="3" customFormat="false" ht="15" hidden="false" customHeight="false" outlineLevel="0" collapsed="false">
      <c r="B3" s="17" t="s">
        <v>54</v>
      </c>
      <c r="C3" s="17" t="s">
        <v>55</v>
      </c>
      <c r="D3" s="18" t="s">
        <v>56</v>
      </c>
      <c r="E3" s="18" t="s">
        <v>57</v>
      </c>
      <c r="F3" s="17" t="s">
        <v>58</v>
      </c>
    </row>
    <row r="4" customFormat="false" ht="30" hidden="false" customHeight="true" outlineLevel="0" collapsed="false">
      <c r="B4" s="41" t="s">
        <v>11</v>
      </c>
      <c r="C4" s="19" t="s">
        <v>59</v>
      </c>
      <c r="D4" s="42" t="n">
        <v>0.6</v>
      </c>
      <c r="E4" s="42" t="n">
        <v>1</v>
      </c>
      <c r="F4" s="43" t="s">
        <v>60</v>
      </c>
    </row>
    <row r="5" customFormat="false" ht="30" hidden="false" customHeight="true" outlineLevel="0" collapsed="false">
      <c r="B5" s="44" t="s">
        <v>61</v>
      </c>
      <c r="C5" s="24" t="s">
        <v>62</v>
      </c>
      <c r="D5" s="45" t="n">
        <v>2.4</v>
      </c>
      <c r="E5" s="45" t="n">
        <v>0</v>
      </c>
      <c r="F5" s="46" t="s">
        <v>63</v>
      </c>
    </row>
    <row r="6" customFormat="false" ht="30" hidden="false" customHeight="true" outlineLevel="0" collapsed="false">
      <c r="B6" s="41" t="s">
        <v>64</v>
      </c>
      <c r="C6" s="19" t="s">
        <v>65</v>
      </c>
      <c r="D6" s="42" t="n">
        <v>3.5</v>
      </c>
      <c r="E6" s="42" t="n">
        <v>0</v>
      </c>
      <c r="F6" s="43" t="s">
        <v>66</v>
      </c>
    </row>
    <row r="7" customFormat="false" ht="30" hidden="false" customHeight="true" outlineLevel="0" collapsed="false">
      <c r="B7" s="44" t="s">
        <v>67</v>
      </c>
      <c r="C7" s="24" t="s">
        <v>68</v>
      </c>
      <c r="D7" s="45" t="n">
        <v>1.5</v>
      </c>
      <c r="E7" s="45" t="n">
        <v>0.5</v>
      </c>
      <c r="F7" s="46" t="s">
        <v>69</v>
      </c>
    </row>
    <row r="8" customFormat="false" ht="30" hidden="false" customHeight="true" outlineLevel="0" collapsed="false">
      <c r="B8" s="41" t="s">
        <v>70</v>
      </c>
      <c r="C8" s="19" t="s">
        <v>71</v>
      </c>
      <c r="D8" s="42" t="n">
        <v>6</v>
      </c>
      <c r="E8" s="42" t="n">
        <v>0</v>
      </c>
      <c r="F8" s="43" t="s">
        <v>72</v>
      </c>
    </row>
    <row r="10" customFormat="false" ht="55.5" hidden="false" customHeight="true" outlineLevel="0" collapsed="false">
      <c r="B10" s="47" t="s">
        <v>73</v>
      </c>
      <c r="C10" s="47"/>
      <c r="D10" s="47"/>
      <c r="E10" s="47"/>
      <c r="F10" s="47"/>
    </row>
  </sheetData>
  <mergeCells count="3">
    <mergeCell ref="B1:F1"/>
    <mergeCell ref="B2:F2"/>
    <mergeCell ref="B10:F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70"/>
  </cols>
  <sheetData>
    <row r="1" customFormat="false" ht="24" hidden="false" customHeight="true" outlineLevel="0" collapsed="false">
      <c r="B1" s="39" t="s">
        <v>74</v>
      </c>
      <c r="C1" s="39"/>
    </row>
    <row r="3" customFormat="false" ht="51.75" hidden="false" customHeight="true" outlineLevel="0" collapsed="false">
      <c r="B3" s="48" t="s">
        <v>75</v>
      </c>
      <c r="C3" s="49" t="s">
        <v>76</v>
      </c>
    </row>
    <row r="4" customFormat="false" ht="27.75" hidden="false" customHeight="true" outlineLevel="0" collapsed="false">
      <c r="B4" s="48" t="s">
        <v>77</v>
      </c>
      <c r="C4" s="49" t="s">
        <v>78</v>
      </c>
    </row>
    <row r="5" customFormat="false" ht="27.75" hidden="false" customHeight="true" outlineLevel="0" collapsed="false">
      <c r="B5" s="48" t="s">
        <v>79</v>
      </c>
      <c r="C5" s="49" t="s">
        <v>80</v>
      </c>
    </row>
    <row r="6" customFormat="false" ht="27.75" hidden="false" customHeight="true" outlineLevel="0" collapsed="false">
      <c r="B6" s="48" t="s">
        <v>81</v>
      </c>
      <c r="C6" s="49" t="s">
        <v>82</v>
      </c>
    </row>
    <row r="7" customFormat="false" ht="27.75" hidden="false" customHeight="true" outlineLevel="0" collapsed="false">
      <c r="B7" s="48" t="s">
        <v>83</v>
      </c>
      <c r="C7" s="49" t="s">
        <v>84</v>
      </c>
    </row>
    <row r="8" customFormat="false" ht="27.75" hidden="false" customHeight="true" outlineLevel="0" collapsed="false">
      <c r="B8" s="48" t="s">
        <v>85</v>
      </c>
      <c r="C8" s="49" t="s">
        <v>86</v>
      </c>
    </row>
    <row r="9" customFormat="false" ht="27.75" hidden="false" customHeight="true" outlineLevel="0" collapsed="false">
      <c r="B9" s="48" t="s">
        <v>87</v>
      </c>
      <c r="C9" s="49" t="s">
        <v>88</v>
      </c>
    </row>
    <row r="10" customFormat="false" ht="39" hidden="false" customHeight="true" outlineLevel="0" collapsed="false">
      <c r="B10" s="48" t="s">
        <v>89</v>
      </c>
      <c r="C10" s="49" t="s">
        <v>90</v>
      </c>
    </row>
    <row r="11" customFormat="false" ht="27.75" hidden="false" customHeight="true" outlineLevel="0" collapsed="false">
      <c r="B11" s="48" t="s">
        <v>91</v>
      </c>
      <c r="C11" s="49" t="s">
        <v>92</v>
      </c>
    </row>
  </sheetData>
  <mergeCells count="1">
    <mergeCell ref="B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2026-05-26T17:16:13Z</dcterms:created>
  <dc:creator>openpyxl</dc:creator>
  <dc:description/>
  <dc:language>en-US</dc:language>
  <cp:lastModifiedBy/>
  <dcterms:modified xsi:type="dcterms:W3CDTF">2026-05-26T17:16:13Z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