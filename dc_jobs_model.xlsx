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lculator" sheetId="1" state="visible" r:id="rId1"/>
    <sheet name="Models" sheetId="2" state="visible" r:id="rId2"/>
    <sheet name="Source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"/>
    <numFmt numFmtId="165" formatCode="0.0%"/>
    <numFmt numFmtId="166" formatCode="\$0.0"/>
    <numFmt numFmtId="167" formatCode="0.000"/>
    <numFmt numFmtId="168" formatCode="#,##0.0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A3161"/>
      <sz val="16"/>
    </font>
    <font>
      <name val="Arial"/>
      <charset val="1"/>
      <family val="0"/>
      <color rgb="FF5F5F5F"/>
      <sz val="9"/>
    </font>
    <font>
      <name val="Arial"/>
      <charset val="1"/>
      <family val="0"/>
      <b val="1"/>
      <color rgb="FF0A3161"/>
      <sz val="11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FF"/>
      <sz val="11"/>
    </font>
    <font>
      <name val="Arial"/>
      <charset val="1"/>
      <family val="0"/>
      <color rgb="FF0000FF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0A3161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854F0B"/>
      <sz val="9"/>
    </font>
    <font>
      <name val="Arial"/>
      <charset val="1"/>
      <family val="0"/>
      <b val="1"/>
      <color rgb="FF854F0B"/>
      <sz val="11"/>
    </font>
    <font>
      <name val="Arial"/>
      <charset val="1"/>
      <family val="0"/>
      <b val="1"/>
      <color rgb="FF0A3161"/>
      <sz val="14"/>
    </font>
    <font>
      <name val="Arial"/>
      <family val="2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854F0B"/>
      <sz val="9"/>
    </font>
    <font>
      <name val="Arial"/>
      <charset val="1"/>
      <family val="0"/>
      <b val="1"/>
      <color rgb="FF0A3161"/>
      <sz val="10"/>
    </font>
    <font>
      <name val="Arial"/>
      <charset val="1"/>
      <family val="0"/>
      <color rgb="FF000000"/>
      <sz val="9"/>
    </font>
  </fonts>
  <fills count="7">
    <fill>
      <patternFill/>
    </fill>
    <fill>
      <patternFill patternType="gray125"/>
    </fill>
    <fill>
      <patternFill patternType="solid">
        <fgColor rgb="FFF0EEE8"/>
        <bgColor rgb="FFFAEEDA"/>
      </patternFill>
    </fill>
    <fill>
      <patternFill patternType="solid">
        <fgColor rgb="FF0A3161"/>
        <bgColor rgb="FF333333"/>
      </patternFill>
    </fill>
    <fill>
      <patternFill patternType="solid">
        <fgColor rgb="FFF7F6F2"/>
        <bgColor rgb="FFF0EEE8"/>
      </patternFill>
    </fill>
    <fill>
      <patternFill patternType="solid">
        <fgColor rgb="FFFFFFFF"/>
        <bgColor rgb="FFF7F6F2"/>
      </patternFill>
    </fill>
    <fill>
      <patternFill patternType="solid">
        <fgColor rgb="FFFAEEDA"/>
        <bgColor rgb="FFF0EEE8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A3161"/>
      </bottom>
      <diagonal/>
    </border>
    <border>
      <left style="thin">
        <color rgb="FFD8D6CF"/>
      </left>
      <right style="thin">
        <color rgb="FFD8D6CF"/>
      </right>
      <top style="thin">
        <color rgb="FFD8D6CF"/>
      </top>
      <bottom style="thin">
        <color rgb="FFD8D6CF"/>
      </bottom>
      <diagonal/>
    </border>
    <border>
      <left style="thin">
        <color rgb="FFD8D6CF"/>
      </left>
      <right/>
      <top style="thin">
        <color rgb="FFD8D6CF"/>
      </top>
      <bottom style="thin">
        <color rgb="FFD8D6CF"/>
      </bottom>
      <diagonal/>
    </border>
    <border>
      <left/>
      <right/>
      <top style="thin">
        <color rgb="FFD8D6CF"/>
      </top>
      <bottom/>
      <diagonal/>
    </border>
    <border>
      <left/>
      <right/>
      <top style="thin">
        <color rgb="FFD8D6CF"/>
      </top>
      <bottom style="thin">
        <color rgb="FFD8D6C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3" fontId="8" fillId="0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3" fontId="7" fillId="0" borderId="2" applyAlignment="1" pivotButton="0" quotePrefix="0" xfId="0">
      <alignment horizontal="right" vertical="center"/>
    </xf>
    <xf numFmtId="0" fontId="8" fillId="0" borderId="2" applyAlignment="1" pivotButton="0" quotePrefix="0" xfId="0">
      <alignment horizontal="center" vertical="center"/>
    </xf>
    <xf numFmtId="164" fontId="9" fillId="0" borderId="2" applyAlignment="1" pivotButton="0" quotePrefix="0" xfId="0">
      <alignment horizontal="right" vertical="center"/>
    </xf>
    <xf numFmtId="2" fontId="9" fillId="0" borderId="2" applyAlignment="1" pivotButton="0" quotePrefix="0" xfId="0">
      <alignment horizontal="right" vertical="center"/>
    </xf>
    <xf numFmtId="3" fontId="9" fillId="0" borderId="2" applyAlignment="1" pivotButton="0" quotePrefix="0" xfId="0">
      <alignment horizontal="right" vertical="center"/>
    </xf>
    <xf numFmtId="165" fontId="9" fillId="0" borderId="2" applyAlignment="1" pivotButton="0" quotePrefix="0" xfId="0">
      <alignment horizontal="right" vertical="center"/>
    </xf>
    <xf numFmtId="1" fontId="9" fillId="0" borderId="2" applyAlignment="1" pivotButton="0" quotePrefix="0" xfId="0">
      <alignment horizontal="right" vertical="center"/>
    </xf>
    <xf numFmtId="2" fontId="7" fillId="0" borderId="2" applyAlignment="1" pivotButton="0" quotePrefix="0" xfId="0">
      <alignment horizontal="right" vertical="center"/>
    </xf>
    <xf numFmtId="164" fontId="10" fillId="0" borderId="2" applyAlignment="1" pivotButton="0" quotePrefix="0" xfId="0">
      <alignment horizontal="right" vertical="center"/>
    </xf>
    <xf numFmtId="0" fontId="11" fillId="2" borderId="0" applyAlignment="1" pivotButton="0" quotePrefix="0" xfId="0">
      <alignment horizontal="left" vertical="center"/>
    </xf>
    <xf numFmtId="0" fontId="12" fillId="3" borderId="2" applyAlignment="1" pivotButton="0" quotePrefix="0" xfId="0">
      <alignment horizontal="left" vertical="center"/>
    </xf>
    <xf numFmtId="0" fontId="12" fillId="3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3" fontId="6" fillId="4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3" fontId="6" fillId="5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  <xf numFmtId="3" fontId="6" fillId="6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166" fontId="14" fillId="6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3" fontId="15" fillId="2" borderId="2" applyAlignment="1" pivotButton="0" quotePrefix="0" xfId="0">
      <alignment horizontal="right" vertical="center"/>
    </xf>
    <xf numFmtId="0" fontId="5" fillId="2" borderId="3" applyAlignment="1" pivotButton="0" quotePrefix="0" xfId="0">
      <alignment horizontal="left" vertical="top" wrapText="1"/>
    </xf>
    <xf numFmtId="0" fontId="15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/>
    </xf>
    <xf numFmtId="164" fontId="9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top" wrapText="1"/>
    </xf>
    <xf numFmtId="0" fontId="17" fillId="5" borderId="2" applyAlignment="1" pivotButton="0" quotePrefix="0" xfId="0">
      <alignment horizontal="left" vertical="center"/>
    </xf>
    <xf numFmtId="164" fontId="9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top" wrapText="1"/>
    </xf>
    <xf numFmtId="0" fontId="18" fillId="6" borderId="0" applyAlignment="1" pivotButton="0" quotePrefix="0" xfId="0">
      <alignment horizontal="left" vertical="top" wrapText="1"/>
    </xf>
    <xf numFmtId="0" fontId="19" fillId="4" borderId="2" applyAlignment="1" pivotButton="0" quotePrefix="0" xfId="0">
      <alignment horizontal="left" vertical="top" wrapText="1"/>
    </xf>
    <xf numFmtId="0" fontId="20" fillId="4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3" fontId="8" fillId="0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3" fontId="7" fillId="0" borderId="2" applyAlignment="1" pivotButton="0" quotePrefix="0" xfId="0">
      <alignment horizontal="right" vertical="center"/>
    </xf>
    <xf numFmtId="0" fontId="8" fillId="0" borderId="2" applyAlignment="1" pivotButton="0" quotePrefix="0" xfId="0">
      <alignment horizontal="center" vertical="center"/>
    </xf>
    <xf numFmtId="164" fontId="9" fillId="0" borderId="2" applyAlignment="1" pivotButton="0" quotePrefix="0" xfId="0">
      <alignment horizontal="right" vertical="center"/>
    </xf>
    <xf numFmtId="2" fontId="9" fillId="0" borderId="2" applyAlignment="1" pivotButton="0" quotePrefix="0" xfId="0">
      <alignment horizontal="right" vertical="center"/>
    </xf>
    <xf numFmtId="3" fontId="9" fillId="0" borderId="2" applyAlignment="1" pivotButton="0" quotePrefix="0" xfId="0">
      <alignment horizontal="right" vertical="center"/>
    </xf>
    <xf numFmtId="165" fontId="9" fillId="0" borderId="2" applyAlignment="1" pivotButton="0" quotePrefix="0" xfId="0">
      <alignment horizontal="right" vertical="center"/>
    </xf>
    <xf numFmtId="1" fontId="9" fillId="0" borderId="2" applyAlignment="1" pivotButton="0" quotePrefix="0" xfId="0">
      <alignment horizontal="right" vertical="center"/>
    </xf>
    <xf numFmtId="2" fontId="7" fillId="0" borderId="2" applyAlignment="1" pivotButton="0" quotePrefix="0" xfId="0">
      <alignment horizontal="right" vertical="center"/>
    </xf>
    <xf numFmtId="164" fontId="10" fillId="0" borderId="2" applyAlignment="1" pivotButton="0" quotePrefix="0" xfId="0">
      <alignment horizontal="right" vertical="center"/>
    </xf>
    <xf numFmtId="0" fontId="11" fillId="2" borderId="0" applyAlignment="1" pivotButton="0" quotePrefix="0" xfId="0">
      <alignment horizontal="left" vertical="center"/>
    </xf>
    <xf numFmtId="0" fontId="12" fillId="3" borderId="2" applyAlignment="1" pivotButton="0" quotePrefix="0" xfId="0">
      <alignment horizontal="left" vertical="center"/>
    </xf>
    <xf numFmtId="0" fontId="12" fillId="3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3" fontId="6" fillId="4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3" fontId="6" fillId="5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  <xf numFmtId="3" fontId="6" fillId="6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166" fontId="14" fillId="6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3" fontId="15" fillId="2" borderId="2" applyAlignment="1" pivotButton="0" quotePrefix="0" xfId="0">
      <alignment horizontal="right" vertical="center"/>
    </xf>
    <xf numFmtId="0" fontId="5" fillId="2" borderId="3" applyAlignment="1" pivotButton="0" quotePrefix="0" xfId="0">
      <alignment horizontal="left" vertical="top" wrapText="1"/>
    </xf>
    <xf numFmtId="0" fontId="0" fillId="0" borderId="5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64" fontId="9" fillId="0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9" fontId="9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164" fontId="7" fillId="0" borderId="2" applyAlignment="1" pivotButton="0" quotePrefix="0" xfId="0">
      <alignment horizontal="right" vertical="center"/>
    </xf>
    <xf numFmtId="167" fontId="9" fillId="0" borderId="2" applyAlignment="1" pivotButton="0" quotePrefix="0" xfId="0">
      <alignment horizontal="right" vertical="center"/>
    </xf>
    <xf numFmtId="168" fontId="7" fillId="0" borderId="2" applyAlignment="1" pivotButton="0" quotePrefix="0" xfId="0">
      <alignment horizontal="right" vertical="center"/>
    </xf>
    <xf numFmtId="10" fontId="9" fillId="0" borderId="2" applyAlignment="1" pivotButton="0" quotePrefix="0" xfId="0">
      <alignment horizontal="right" vertical="center"/>
    </xf>
    <xf numFmtId="3" fontId="9" fillId="0" borderId="2" applyAlignment="1" pivotButton="0" quotePrefix="0" xfId="0">
      <alignment horizontal="right" vertical="center"/>
    </xf>
    <xf numFmtId="0" fontId="15" fillId="2" borderId="0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/>
    </xf>
    <xf numFmtId="164" fontId="9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top" wrapText="1"/>
    </xf>
    <xf numFmtId="0" fontId="17" fillId="5" borderId="2" applyAlignment="1" pivotButton="0" quotePrefix="0" xfId="0">
      <alignment horizontal="left" vertical="center"/>
    </xf>
    <xf numFmtId="164" fontId="9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top" wrapText="1"/>
    </xf>
    <xf numFmtId="0" fontId="18" fillId="6" borderId="0" applyAlignment="1" pivotButton="0" quotePrefix="0" xfId="0">
      <alignment horizontal="left" vertical="top" wrapText="1"/>
    </xf>
    <xf numFmtId="0" fontId="19" fillId="4" borderId="2" applyAlignment="1" pivotButton="0" quotePrefix="0" xfId="0">
      <alignment horizontal="left" vertical="top" wrapText="1"/>
    </xf>
    <xf numFmtId="0" fontId="20" fillId="4" borderId="2" applyAlignment="1" pivotButton="0" quotePrefix="0" xfId="0">
      <alignment horizontal="left" vertical="top" wrapText="1"/>
    </xf>
    <xf numFmtId="0" fontId="19" fillId="4" borderId="2" applyAlignment="1" pivotButton="0" quotePrefix="0" xfId="0">
      <alignment horizontal="left" vertical="top" wrapText="1"/>
    </xf>
    <xf numFmtId="0" fontId="20" fillId="4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EEDA"/>
      <rgbColor rgb="FFF0EEE8"/>
      <rgbColor rgb="FF660066"/>
      <rgbColor rgb="FFFF8080"/>
      <rgbColor rgb="FF0066CC"/>
      <rgbColor rgb="FFD8D6C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6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F5F"/>
      <rgbColor rgb="FF969696"/>
      <rgbColor rgb="FF0A3161"/>
      <rgbColor rgb="FF339966"/>
      <rgbColor rgb="FF003300"/>
      <rgbColor rgb="FF333300"/>
      <rgbColor rgb="FF854F0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Unknown Author</author>
  </authors>
  <commentList>
    <comment ref="C5" authorId="0" shapeId="0">
      <text>
        <t>Primary driver. IT load in megawatts. Gateway and Bedington are each ~600 MW.</t>
      </text>
    </comment>
    <comment ref="C7" authorId="0" shapeId="0">
      <text>
        <t>Type 'colo' for colocation/speculative (Penzance profile) or 'hyper' for hyperscale. Drives the ecosystem multiplier.</t>
      </text>
    </comment>
    <comment ref="C8" authorId="0" shapeId="0">
      <text>
        <t>Pick the model for spillover jobs. See Models sheet. Brookings is the most defensible in a hearing.</t>
      </text>
    </comment>
    <comment ref="C11" authorId="0" shapeId="0">
      <text>
        <t>Midpoint of 2025-26 announcements: CoreWeave ~2.0, Bedington ~1.7, Stargate ~2.5, Meta ~4.0 peak.</t>
      </text>
    </comment>
    <comment ref="C12" authorId="0" shapeId="0">
      <text>
        <t>ESTIMATE ONLY. No published coefficient exists. Adjust freely; do not present as sourced.</t>
      </text>
    </comment>
    <comment ref="C13" authorId="0" shapeId="0">
      <text>
        <t>Loose industry density. Square footage is a weak predictor of power; treat conversion as rough.</t>
      </text>
    </comment>
    <comment ref="C14" authorId="0" shapeId="0">
      <text>
        <t>Source: JLARC 2024, Report 598, Ch 2 (68% IT/mechanical equipment).</t>
      </text>
    </comment>
    <comment ref="C15" authorId="0" shapeId="0">
      <text>
        <t>Source: 2026 industry benchmarks, ~$8-12M/MW; $11.3M midpoint.</t>
      </text>
    </comment>
    <comment ref="C16" authorId="0" shapeId="0">
      <text>
        <t>Source: JLARC 2024 (equipment typically replaced every five years).</t>
      </text>
    </comment>
    <comment ref="C19" authorId="0" shapeId="0">
      <text>
        <t>~0.30/MW colocation, ~0.45/MW hyperscale. Anchored to Gateway and industry norms; JLARC cross-check on Calculator.</t>
      </text>
    </comment>
    <comment ref="C20" authorId="0" shapeId="0">
      <text>
        <t>Pulls base multiplier from Models sheet, plus a hyperscale uplift where the model distinguishes (Brookings).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F5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5" customWidth="1" style="50" min="1" max="1"/>
    <col width="34" customWidth="1" style="50" min="2" max="2"/>
    <col width="16" customWidth="1" style="50" min="3" max="5"/>
    <col width="30" customWidth="1" style="50" min="6" max="6"/>
  </cols>
  <sheetData>
    <row r="1" ht="25.5" customHeight="1" s="51">
      <c r="B1" s="52" t="inlineStr">
        <is>
          <t>DATA CENTER JOBS CALCULATOR</t>
        </is>
      </c>
    </row>
    <row r="2" ht="15" customHeight="1" s="51">
      <c r="B2" s="53" t="inlineStr">
        <is>
          <t>RenUSA  |  Operations-inclusive employment and fiscal model  |  Working tool  |  v2.0 (September 2026)</t>
        </is>
      </c>
      <c r="C2" s="54" t="n"/>
      <c r="D2" s="54" t="n"/>
      <c r="E2" s="54" t="n"/>
      <c r="F2" s="54" t="n"/>
    </row>
    <row r="4" ht="15" customHeight="1" s="51">
      <c r="B4" s="55" t="inlineStr">
        <is>
          <t>INPUTS  (edit the blue cells)</t>
        </is>
      </c>
    </row>
    <row r="5" ht="15" customHeight="1" s="51">
      <c r="B5" s="56" t="inlineStr">
        <is>
          <t>Capacity (MW)</t>
        </is>
      </c>
      <c r="C5" s="57" t="n">
        <v>600</v>
      </c>
      <c r="D5" s="58" t="inlineStr">
        <is>
          <t>&lt;- enter MW here</t>
        </is>
      </c>
    </row>
    <row r="6" ht="15" customHeight="1" s="51">
      <c r="B6" s="56" t="inlineStr">
        <is>
          <t>Building size (sq ft)</t>
        </is>
      </c>
      <c r="C6" s="59">
        <f>$C$5*$C$13</f>
        <v/>
      </c>
      <c r="D6" s="58" t="inlineStr">
        <is>
          <t>derived from MW</t>
        </is>
      </c>
    </row>
    <row r="7" ht="15" customHeight="1" s="51">
      <c r="B7" s="56" t="inlineStr">
        <is>
          <t>Facility type</t>
        </is>
      </c>
      <c r="C7" s="60" t="inlineStr">
        <is>
          <t>colo</t>
        </is>
      </c>
      <c r="D7" s="58" t="inlineStr">
        <is>
          <t>colo, hyper or ai</t>
        </is>
      </c>
    </row>
    <row r="8" ht="15" customHeight="1" s="51">
      <c r="B8" s="56" t="inlineStr">
        <is>
          <t>Indirect/induced model</t>
        </is>
      </c>
      <c r="C8" s="60" t="inlineStr">
        <is>
          <t>Brookings</t>
        </is>
      </c>
      <c r="D8" s="58" t="inlineStr">
        <is>
          <t>see Models sheet</t>
        </is>
      </c>
    </row>
    <row r="10" ht="15" customHeight="1" s="51">
      <c r="B10" s="55" t="inlineStr">
        <is>
          <t>ADJUSTABLE ASSUMPTIONS  (blue = change for scenarios)</t>
        </is>
      </c>
    </row>
    <row r="11" ht="15" customHeight="1" s="51">
      <c r="B11" s="56" t="inlineStr">
        <is>
          <t>Construction jobs per MW</t>
        </is>
      </c>
      <c r="C11" s="61" t="n">
        <v>2</v>
      </c>
    </row>
    <row r="12" ht="15" customHeight="1" s="51">
      <c r="B12" s="56" t="inlineStr">
        <is>
          <t>Refresh + smart-hands FTE per MW</t>
        </is>
      </c>
      <c r="C12" s="62" t="n">
        <v>0.15</v>
      </c>
    </row>
    <row r="13" ht="15" customHeight="1" s="51">
      <c r="B13" s="56" t="inlineStr">
        <is>
          <t>Sq ft per MW (density)</t>
        </is>
      </c>
      <c r="C13" s="63" t="n">
        <v>3500</v>
      </c>
    </row>
    <row r="14" ht="15" customHeight="1" s="51">
      <c r="B14" s="56" t="inlineStr">
        <is>
          <t>Equipment share of capital</t>
        </is>
      </c>
      <c r="C14" s="64" t="n">
        <v>0.68</v>
      </c>
    </row>
    <row r="15" ht="15" customHeight="1" s="51">
      <c r="B15" s="56" t="inlineStr">
        <is>
          <t>Total build cost per MW ($M)</t>
        </is>
      </c>
      <c r="C15" s="61" t="n">
        <v>11.3</v>
      </c>
    </row>
    <row r="16" ht="15" customHeight="1" s="51">
      <c r="B16" s="56" t="inlineStr">
        <is>
          <t>Equipment refresh cycle (years)</t>
        </is>
      </c>
      <c r="C16" s="65" t="n">
        <v>5</v>
      </c>
    </row>
    <row r="18" ht="15" customHeight="1" s="51">
      <c r="B18" s="55" t="inlineStr">
        <is>
          <t>DERIVED COEFFICIENTS  (black = formula, do not edit)</t>
        </is>
      </c>
    </row>
    <row r="19" ht="15" customHeight="1" s="51">
      <c r="B19" s="56" t="inlineStr">
        <is>
          <t>Permanent jobs per MW (by type)</t>
        </is>
      </c>
      <c r="C19" s="66">
        <f>IF($C$7="hyper",0.45,IF($C$7="ai",0.2,0.3))</f>
        <v/>
      </c>
    </row>
    <row r="20" ht="15" customHeight="1" s="51">
      <c r="B20" s="56" t="inlineStr">
        <is>
          <t>Spillover multiplier (from model)</t>
        </is>
      </c>
      <c r="C20" s="67">
        <f>INDEX(Models!$D$4:$D$8,MATCH($C$8,Models!$B$4:$B$8,0))+IF(OR($C$7="hyper",$C$7="ai"),INDEX(Models!$E$4:$E$8,MATCH($C$8,Models!$B$4:$B$8,0)),0)</f>
        <v/>
      </c>
    </row>
    <row r="22" ht="21.75" customHeight="1" s="51">
      <c r="B22" s="68" t="inlineStr">
        <is>
          <t>RESULTS</t>
        </is>
      </c>
    </row>
    <row r="23" ht="15" customHeight="1" s="51">
      <c r="B23" s="69" t="inlineStr">
        <is>
          <t>Job category</t>
        </is>
      </c>
      <c r="C23" s="70" t="inlineStr">
        <is>
          <t>Jobs</t>
        </is>
      </c>
      <c r="D23" s="70" t="inlineStr">
        <is>
          <t>Tier</t>
        </is>
      </c>
      <c r="E23" s="70" t="inlineStr">
        <is>
          <t>Status</t>
        </is>
      </c>
      <c r="F23" s="69" t="inlineStr">
        <is>
          <t>Basis</t>
        </is>
      </c>
    </row>
    <row r="24" ht="15" customHeight="1" s="51">
      <c r="B24" s="71" t="inlineStr">
        <is>
          <t>Permanent on-site (direct)</t>
        </is>
      </c>
      <c r="C24" s="72">
        <f>$C$5*$C$19</f>
        <v/>
      </c>
      <c r="D24" s="73" t="inlineStr">
        <is>
          <t>1</t>
        </is>
      </c>
      <c r="E24" s="74" t="inlineStr">
        <is>
          <t>Anchored</t>
        </is>
      </c>
      <c r="F24" s="75" t="inlineStr">
        <is>
          <t>Direct employees at full build-out</t>
        </is>
      </c>
    </row>
    <row r="25" ht="15" customHeight="1" s="51">
      <c r="B25" s="76" t="inlineStr">
        <is>
          <t>Construction (average on-site)</t>
        </is>
      </c>
      <c r="C25" s="77">
        <f>$C$5*$C$11</f>
        <v/>
      </c>
      <c r="D25" s="78" t="inlineStr">
        <is>
          <t>1</t>
        </is>
      </c>
      <c r="E25" s="79" t="inlineStr">
        <is>
          <t>Anchored</t>
        </is>
      </c>
      <c r="F25" s="80" t="inlineStr">
        <is>
          <t>Temporary; average on-site, per-MW from announcements</t>
        </is>
      </c>
    </row>
    <row r="26" ht="15" customHeight="1" s="51">
      <c r="B26" s="81" t="inlineStr">
        <is>
          <t>Refresh + smart-hands (FTE-eq)</t>
        </is>
      </c>
      <c r="C26" s="82">
        <f>$C$5*$C$12</f>
        <v/>
      </c>
      <c r="D26" s="83" t="inlineStr">
        <is>
          <t>2</t>
        </is>
      </c>
      <c r="E26" s="84" t="inlineStr">
        <is>
          <t>ESTIMATE</t>
        </is>
      </c>
      <c r="F26" s="85" t="inlineStr">
        <is>
          <t>Recurring; FTE assumption, not sourced</t>
        </is>
      </c>
    </row>
    <row r="27" ht="15" customHeight="1" s="51">
      <c r="B27" s="76" t="inlineStr">
        <is>
          <t>Indirect / induced (spillover)</t>
        </is>
      </c>
      <c r="C27" s="77">
        <f>$C$5*$C$19*$C$20</f>
        <v/>
      </c>
      <c r="D27" s="78" t="inlineStr">
        <is>
          <t>3</t>
        </is>
      </c>
      <c r="E27" s="79" t="inlineStr">
        <is>
          <t>Model-based</t>
        </is>
      </c>
      <c r="F27" s="80" t="inlineStr">
        <is>
          <t>Permanent x selected model multiplier</t>
        </is>
      </c>
    </row>
    <row r="28" ht="15" customHeight="1" s="51">
      <c r="B28" s="81" t="inlineStr">
        <is>
          <t>Annual equipment churn ($B)</t>
        </is>
      </c>
      <c r="C28" s="86">
        <f>($C$5*$C$15*$C$14)/$C$16/1000</f>
        <v/>
      </c>
      <c r="D28" s="83" t="inlineStr">
        <is>
          <t>2</t>
        </is>
      </c>
      <c r="E28" s="87" t="inlineStr">
        <is>
          <t>Anchored</t>
        </is>
      </c>
      <c r="F28" s="85" t="inlineStr">
        <is>
          <t>JLARC 68% equip / 5-yr replace; drives FTE</t>
        </is>
      </c>
    </row>
    <row r="30" ht="27.75" customHeight="1" s="51">
      <c r="B30" s="88" t="inlineStr">
        <is>
          <t>DEFENSIBLE ONGOING LOCAL TOTAL</t>
        </is>
      </c>
      <c r="C30" s="89">
        <f>$C$24+$C$27</f>
        <v/>
      </c>
      <c r="D30" s="90" t="inlineStr">
        <is>
          <t>Permanent + selected model. Excludes temporary construction and the Tier 2 estimate.</t>
        </is>
      </c>
      <c r="E30" s="91" t="n"/>
      <c r="F30" s="91" t="n"/>
    </row>
    <row r="32" ht="15" customHeight="1" s="51">
      <c r="B32" s="55" t="inlineStr">
        <is>
          <t>JLARC CROSS-CHECK (independent sanity check on Tier 1)</t>
        </is>
      </c>
    </row>
    <row r="33" ht="15" customHeight="1" s="51">
      <c r="B33" s="56" t="inlineStr">
        <is>
          <t>Implied total on-site workers</t>
        </is>
      </c>
      <c r="C33" s="59">
        <f>($C$6/250000)*50</f>
        <v/>
      </c>
      <c r="F33" s="58" t="inlineStr">
        <is>
          <t>JLARC: ~50 workers per 250,000 sq ft</t>
        </is>
      </c>
    </row>
    <row r="34" ht="15" customHeight="1" s="51">
      <c r="B34" s="56" t="inlineStr">
        <is>
          <t xml:space="preserve">  of which contract (excluded from official count)</t>
        </is>
      </c>
      <c r="C34" s="59">
        <f>(($C$6/250000)*50)*0.5</f>
        <v/>
      </c>
      <c r="F34" s="58" t="inlineStr">
        <is>
          <t>JLARC: about half are contract workers</t>
        </is>
      </c>
    </row>
    <row r="36">
      <c r="B36" s="92" t="inlineStr">
        <is>
          <t>CONSTRUCTION, CAPITAL AND FISCAL (v2.0)</t>
        </is>
      </c>
    </row>
    <row r="37">
      <c r="B37" s="93" t="inlineStr">
        <is>
          <t>Build duration (years)</t>
        </is>
      </c>
      <c r="C37" s="94" t="n">
        <v>3</v>
      </c>
      <c r="F37" s="95" t="inlineStr">
        <is>
          <t>Multi-year or phased builds; Hyperion runs to ~2036</t>
        </is>
      </c>
    </row>
    <row r="38">
      <c r="B38" s="93" t="inlineStr">
        <is>
          <t>Local resident share of construction</t>
        </is>
      </c>
      <c r="C38" s="96" t="n">
        <v>0.5</v>
      </c>
      <c r="F38" s="95" t="inlineStr">
        <is>
          <t>ASSUMPTION: no reliable published figure</t>
        </is>
      </c>
    </row>
    <row r="39">
      <c r="B39" s="93" t="inlineStr">
        <is>
          <t>Construction job-years</t>
        </is>
      </c>
      <c r="C39" s="97">
        <f>$C$25*$C$37</f>
        <v/>
      </c>
      <c r="F39" s="95" t="inlineStr">
        <is>
          <t>Average on-site x build duration</t>
        </is>
      </c>
    </row>
    <row r="40">
      <c r="B40" s="93" t="inlineStr">
        <is>
          <t>Local construction residents (avg)</t>
        </is>
      </c>
      <c r="C40" s="97">
        <f>$C$25*$C$38</f>
        <v/>
      </c>
      <c r="F40" s="95" t="inlineStr">
        <is>
          <t>Average on-site x local share</t>
        </is>
      </c>
    </row>
    <row r="41">
      <c r="B41" s="93" t="inlineStr">
        <is>
          <t>Total build cost ($M)</t>
        </is>
      </c>
      <c r="C41" s="97">
        <f>$C$5*$C$15</f>
        <v/>
      </c>
      <c r="F41" s="95" t="inlineStr">
        <is>
          <t>MW x build cost per MW</t>
        </is>
      </c>
    </row>
    <row r="42">
      <c r="B42" s="93" t="inlineStr">
        <is>
          <t>Capital per permanent job ($M)</t>
        </is>
      </c>
      <c r="C42" s="98">
        <f>$C$41/$C$24</f>
        <v/>
      </c>
      <c r="F42" s="95" t="inlineStr">
        <is>
          <t>FWW: ~$54M per VA data center job vs ~$137K elsewhere</t>
        </is>
      </c>
    </row>
    <row r="43">
      <c r="B43" s="93" t="inlineStr">
        <is>
          <t>Average utilization</t>
        </is>
      </c>
      <c r="C43" s="96" t="n">
        <v>0.8</v>
      </c>
      <c r="F43" s="95" t="inlineStr">
        <is>
          <t>Share of nameplate MW drawn on average</t>
        </is>
      </c>
    </row>
    <row r="44">
      <c r="B44" s="93" t="inlineStr">
        <is>
          <t>Annual electricity use (MWh)</t>
        </is>
      </c>
      <c r="C44" s="97">
        <f>$C$5*8760*$C$43</f>
        <v/>
      </c>
      <c r="F44" s="95" t="inlineStr">
        <is>
          <t>MW x 8,760 hrs x utilization</t>
        </is>
      </c>
    </row>
    <row r="45">
      <c r="B45" s="93" t="inlineStr">
        <is>
          <t>Electricity tax ($/kWh)</t>
        </is>
      </c>
      <c r="C45" s="99" t="n">
        <v>0</v>
      </c>
      <c r="F45" s="95" t="inlineStr">
        <is>
          <t>Virginia: 0.011 (Jul 2026 to Jun 2028, $600M/yr statewide cap)</t>
        </is>
      </c>
    </row>
    <row r="46">
      <c r="B46" s="93" t="inlineStr">
        <is>
          <t>Electricity tax revenue ($M/yr)</t>
        </is>
      </c>
      <c r="C46" s="100">
        <f>$C$44*1000*$C$45/1000000</f>
        <v/>
      </c>
      <c r="F46" s="95" t="inlineStr">
        <is>
          <t>To the state</t>
        </is>
      </c>
    </row>
    <row r="47">
      <c r="B47" s="93" t="inlineStr">
        <is>
          <t>Effective property tax (% of cost/yr)</t>
        </is>
      </c>
      <c r="C47" s="101" t="n">
        <v>0.005</v>
      </c>
      <c r="F47" s="95" t="inlineStr">
        <is>
          <t>ASSUMPTION: calibrate to the county levy</t>
        </is>
      </c>
    </row>
    <row r="48">
      <c r="B48" s="93" t="inlineStr">
        <is>
          <t>Property tax abatement</t>
        </is>
      </c>
      <c r="C48" s="96" t="n">
        <v>0</v>
      </c>
      <c r="F48" s="95" t="inlineStr">
        <is>
          <t>Share abated</t>
        </is>
      </c>
    </row>
    <row r="49">
      <c r="B49" s="93" t="inlineStr">
        <is>
          <t>Local property tax ($M/yr)</t>
        </is>
      </c>
      <c r="C49" s="100">
        <f>$C$41*$C$47*(1-$C$48)</f>
        <v/>
      </c>
      <c r="F49" s="95" t="inlineStr">
        <is>
          <t>After abatement</t>
        </is>
      </c>
    </row>
    <row r="50">
      <c r="B50" s="93" t="inlineStr">
        <is>
          <t>State sales tax rate</t>
        </is>
      </c>
      <c r="C50" s="101" t="n">
        <v>0.06</v>
      </c>
      <c r="F50" s="95" t="inlineStr">
        <is>
          <t>Set to 0 if equipment is not exempt</t>
        </is>
      </c>
    </row>
    <row r="51">
      <c r="B51" s="93" t="inlineStr">
        <is>
          <t>Sales tax forgone on equipment ($M/yr)</t>
        </is>
      </c>
      <c r="C51" s="100">
        <f>$C$28*1000*$C$50</f>
        <v/>
      </c>
      <c r="F51" s="95" t="inlineStr">
        <is>
          <t>Annual churn x rate (exempt equipment)</t>
        </is>
      </c>
    </row>
    <row r="52">
      <c r="B52" s="93" t="inlineStr">
        <is>
          <t>County private employment</t>
        </is>
      </c>
      <c r="C52" s="102" t="n">
        <v>100000</v>
      </c>
      <c r="F52" s="95" t="inlineStr">
        <is>
          <t>Brookings county check</t>
        </is>
      </c>
    </row>
    <row r="53">
      <c r="B53" s="93" t="inlineStr">
        <is>
          <t>Brookings county gain, low</t>
        </is>
      </c>
      <c r="C53" s="97">
        <f>$C$52*0.02</f>
        <v/>
      </c>
      <c r="F53" s="95" t="inlineStr">
        <is>
          <t>~2,000 per 100,000 (Brookings brief)</t>
        </is>
      </c>
    </row>
    <row r="54">
      <c r="B54" s="93" t="inlineStr">
        <is>
          <t>Brookings county gain, high</t>
        </is>
      </c>
      <c r="C54" s="97">
        <f>$C$52*0.05</f>
        <v/>
      </c>
      <c r="F54" s="95" t="inlineStr">
        <is>
          <t>4-5% private employment lift; not additive to tiers</t>
        </is>
      </c>
    </row>
  </sheetData>
  <mergeCells count="9">
    <mergeCell ref="B4:F4"/>
    <mergeCell ref="B2:F2"/>
    <mergeCell ref="D30:F30"/>
    <mergeCell ref="B10:F10"/>
    <mergeCell ref="B1:F1"/>
    <mergeCell ref="B22:F22"/>
    <mergeCell ref="B32:F32"/>
    <mergeCell ref="B36:F36"/>
    <mergeCell ref="B18:F18"/>
  </mergeCells>
  <dataValidations count="2">
    <dataValidation sqref="C7" showDropDown="0" showInputMessage="0" showErrorMessage="0" allowBlank="0" type="list" errorStyle="stop" operator="between">
      <formula1>"colo,hyper"</formula1>
      <formula2>0</formula2>
    </dataValidation>
    <dataValidation sqref="C8" showDropDown="0" showInputMessage="0" showErrorMessage="0" allowBlank="0" type="list" errorStyle="stop" operator="between">
      <formula1>"Brookings,JLARC,Mangum,ORVI,PwC"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F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5" customWidth="1" style="50" min="1" max="1"/>
    <col width="14" customWidth="1" style="50" min="2" max="2"/>
    <col width="22" customWidth="1" style="50" min="3" max="3"/>
    <col width="13" customWidth="1" style="50" min="4" max="4"/>
    <col width="14" customWidth="1" style="50" min="5" max="5"/>
    <col width="40" customWidth="1" style="50" min="6" max="6"/>
  </cols>
  <sheetData>
    <row r="1" ht="24" customHeight="1" s="51">
      <c r="B1" s="103" t="inlineStr">
        <is>
          <t>INDIRECT / INDUCED MODELS</t>
        </is>
      </c>
    </row>
    <row r="2" ht="15" customHeight="1" s="51">
      <c r="B2" s="58" t="inlineStr">
        <is>
          <t>Spillover jobs per direct permanent job. Select one on the Calculator sheet.</t>
        </is>
      </c>
    </row>
    <row r="3" ht="15" customHeight="1" s="51">
      <c r="B3" s="69" t="inlineStr">
        <is>
          <t>Model</t>
        </is>
      </c>
      <c r="C3" s="69" t="inlineStr">
        <is>
          <t>Type</t>
        </is>
      </c>
      <c r="D3" s="70" t="inlineStr">
        <is>
          <t>Base mult</t>
        </is>
      </c>
      <c r="E3" s="70" t="inlineStr">
        <is>
          <t>Hyper uplift</t>
        </is>
      </c>
      <c r="F3" s="69" t="inlineStr">
        <is>
          <t>Notes</t>
        </is>
      </c>
    </row>
    <row r="4" ht="30" customHeight="1" s="51">
      <c r="B4" s="104" t="inlineStr">
        <is>
          <t>Brookings</t>
        </is>
      </c>
      <c r="C4" s="71" t="inlineStr">
        <is>
          <t>Independent, causal</t>
        </is>
      </c>
      <c r="D4" s="105" t="n">
        <v>0.6</v>
      </c>
      <c r="E4" s="105" t="n">
        <v>1</v>
      </c>
      <c r="F4" s="106" t="inlineStr">
        <is>
          <t>BLS data + synthetic control. Revised ~Aug 2026 (expanded sample); 0.6 base / +1.0 hyper from the May 2026 version, re-verify. Hyper and AI uplift to ~1.6x.</t>
        </is>
      </c>
    </row>
    <row r="5" ht="30" customHeight="1" s="51">
      <c r="B5" s="107" t="inlineStr">
        <is>
          <t>JLARC</t>
        </is>
      </c>
      <c r="C5" s="76" t="inlineStr">
        <is>
          <t>VA government, IMPLAN</t>
        </is>
      </c>
      <c r="D5" s="108" t="n">
        <v>2.4</v>
      </c>
      <c r="E5" s="108" t="n">
        <v>0</v>
      </c>
      <c r="F5" s="109" t="inlineStr">
        <is>
          <t>Weldon Cooper Center for the VA General Assembly (2024). Blended; mixes construction and operations.</t>
        </is>
      </c>
    </row>
    <row r="6" ht="30" customHeight="1" s="51">
      <c r="B6" s="104" t="inlineStr">
        <is>
          <t>Mangum</t>
        </is>
      </c>
      <c r="C6" s="71" t="inlineStr">
        <is>
          <t>Independent, state</t>
        </is>
      </c>
      <c r="D6" s="105" t="n">
        <v>3.5</v>
      </c>
      <c r="E6" s="105" t="n">
        <v>0</v>
      </c>
      <c r="F6" s="106" t="inlineStr">
        <is>
          <t>IMPLAN (2023), ~3.5 spillover per VA data center job, excludes construction.</t>
        </is>
      </c>
    </row>
    <row r="7" ht="30" customHeight="1" s="51">
      <c r="B7" s="107" t="inlineStr">
        <is>
          <t>ORVI</t>
        </is>
      </c>
      <c r="C7" s="76" t="inlineStr">
        <is>
          <t>Skeptic, state floor</t>
        </is>
      </c>
      <c r="D7" s="108" t="n">
        <v>1.5</v>
      </c>
      <c r="E7" s="108" t="n">
        <v>0.5</v>
      </c>
      <c r="F7" s="109" t="inlineStr">
        <is>
          <t>Ohio River Valley Institute (2026); cites IMPLAN's own 2-3 state-multiplier guidance. Hyper/AI uplift to 2.0x.</t>
        </is>
      </c>
    </row>
    <row r="8" ht="30" customHeight="1" s="51">
      <c r="B8" s="104" t="inlineStr">
        <is>
          <t>PwC</t>
        </is>
      </c>
      <c r="C8" s="71" t="inlineStr">
        <is>
          <t>Industry, national</t>
        </is>
      </c>
      <c r="D8" s="105" t="n">
        <v>4.5</v>
      </c>
      <c r="E8" s="105" t="n">
        <v>0</v>
      </c>
      <c r="F8" s="106" t="inlineStr">
        <is>
          <t>PwC for the Data Center Coalition (2026 study, 2024 data): &gt;4.5 other jobs per direct job nationally, down from ~6x in 2023. Industry-funded; hide in public use. State tables available.</t>
        </is>
      </c>
    </row>
    <row r="10" ht="55.5" customHeight="1" s="51">
      <c r="B10" s="110" t="inlineStr">
        <is>
          <t>The cross-cutting critique: all IMPLAN/RIMS models (JLARC, Mangum, ORVI, PwC) add and never subtract; they ignore opportunity cost and, per JLARC's own note, exclude externalities (carbon, health). Brookings measures a causal counterfactual, which is why it runs lowest and is the most defensible in a hearing.</t>
        </is>
      </c>
    </row>
  </sheetData>
  <mergeCells count="3">
    <mergeCell ref="B2:F2"/>
    <mergeCell ref="B10:F10"/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C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5" customWidth="1" style="50" min="1" max="1"/>
    <col width="26" customWidth="1" style="50" min="2" max="2"/>
    <col width="70" customWidth="1" style="50" min="3" max="3"/>
  </cols>
  <sheetData>
    <row r="1" ht="24" customHeight="1" s="51">
      <c r="B1" s="103" t="inlineStr">
        <is>
          <t>SOURCES &amp; METHOD NOTES</t>
        </is>
      </c>
    </row>
    <row r="3" ht="51.75" customHeight="1" s="51">
      <c r="B3" s="111" t="inlineStr">
        <is>
          <t>JLARC 2024 (Report 598)</t>
        </is>
      </c>
      <c r="C3" s="112" t="inlineStr">
        <is>
          <t>Virginia General Assembly legislative commission. Source for per-facility staffing (~50 workers / 250k sq ft, half contract), 68% equipment capital split, 5-year replacement cycle, statewide impact totals, and the IMPLAN externalities caveat.</t>
        </is>
      </c>
    </row>
    <row r="4" ht="27.75" customHeight="1" s="51">
      <c r="B4" s="111" t="inlineStr">
        <is>
          <t>Brookings 2026</t>
        </is>
      </c>
      <c r="C4" s="112" t="inlineStr">
        <is>
          <t>Bahar &amp; Wright, 'New evidence on data center employment effects.' BLS data, synthetic control method. Independent and causal.</t>
        </is>
      </c>
    </row>
    <row r="5" ht="27.75" customHeight="1" s="51">
      <c r="B5" s="111" t="inlineStr">
        <is>
          <t>Mangum Economics 2023</t>
        </is>
      </c>
      <c r="C5" s="112" t="inlineStr">
        <is>
          <t>Virginia data center impact analysis. IMPLAN. ~3.5 spillover jobs per direct job, excluding construction.</t>
        </is>
      </c>
    </row>
    <row r="6" ht="27.75" customHeight="1" s="51">
      <c r="B6" s="111" t="inlineStr">
        <is>
          <t>Ohio River Valley Institute</t>
        </is>
      </c>
      <c r="C6" s="112" t="inlineStr">
        <is>
          <t>Skeptic analysis citing IMPLAN's own guidance that state job multipliers usually fall between 2 and 3.</t>
        </is>
      </c>
    </row>
    <row r="7" ht="27.75" customHeight="1" s="51">
      <c r="B7" s="111" t="inlineStr">
        <is>
          <t>PwC / Data Center Coalition</t>
        </is>
      </c>
      <c r="C7" s="112" t="inlineStr">
        <is>
          <t>2023, 2025 and 2026 impact studies. IMPLAN. 2026: 1,005,080 direct jobs (2024), &gt;4.5x national multiplier. Industry-commissioned.</t>
        </is>
      </c>
    </row>
    <row r="8" ht="27.75" customHeight="1" s="51">
      <c r="B8" s="111" t="inlineStr">
        <is>
          <t>Construction anchors</t>
        </is>
      </c>
      <c r="C8" s="112" t="inlineStr">
        <is>
          <t>2025-26 announcements: CoreWeave Lancaster (~2.0/MW), Bedington (~1.7/MW), Stargate Michigan (~2.5/MW), Meta El Paso (~4.0/MW peak). Added v2.0: Meta Sturgeon County AB (~3,000 peak / 1 GW), Pecos TX (6,000+ peak / 2 GW), Meta Hyperion (~7,500 peak, 1,000 permanent / ~5 GW).</t>
        </is>
      </c>
    </row>
    <row r="9" ht="27.75" customHeight="1" s="51">
      <c r="B9" s="111" t="inlineStr">
        <is>
          <t>Build cost / MW</t>
        </is>
      </c>
      <c r="C9" s="112" t="inlineStr">
        <is>
          <t>2026 industry benchmarks, ~$8-12M/MW standard; $11.3M midpoint used.</t>
        </is>
      </c>
    </row>
    <row r="10" ht="39" customHeight="1" s="51">
      <c r="B10" s="111" t="inlineStr">
        <is>
          <t>Method caveat</t>
        </is>
      </c>
      <c r="C10" s="112" t="inlineStr">
        <is>
          <t>Model multipliers are simplified to single per-direct-job factors for quick comparison. Source studies use fuller input-output structures. Cite the source study, not this tool's factor, in formal settings.</t>
        </is>
      </c>
    </row>
    <row r="11" ht="27.75" customHeight="1" s="51">
      <c r="B11" s="111" t="inlineStr">
        <is>
          <t>Color key</t>
        </is>
      </c>
      <c r="C11" s="112" t="inlineStr">
        <is>
          <t>Blue = editable input. Black = formula. Green = pulled from another sheet. Amber rows = estimate, handle with care.</t>
        </is>
      </c>
    </row>
    <row r="12">
      <c r="B12" s="113" t="inlineStr">
        <is>
          <t>Food &amp; Water Watch 2026</t>
        </is>
      </c>
      <c r="C12" s="114" t="inlineStr">
        <is>
          <t>'Artificial Jobs' (Jan 2026). ~23,000 permanent US data center jobs in 2024 (extrapolated from Virginia); ~$54M investment per job vs ~$137K elsewhere.</t>
        </is>
      </c>
    </row>
    <row r="13">
      <c r="B13" s="113" t="inlineStr">
        <is>
          <t>Brookings revision</t>
        </is>
      </c>
      <c r="C13" s="114" t="inlineStr">
        <is>
          <t>Bahar &amp; Wright working paper, revised ~Aug 2026: county private employment +4-5% in 5-6 yrs, wages +3-4%, IT gains driven by hyperscalers; incentives ~62% of investment for colocation vs ~2% hyperscale.</t>
        </is>
      </c>
    </row>
    <row r="14">
      <c r="B14" s="113" t="inlineStr">
        <is>
          <t>Virginia electricity tax</t>
        </is>
      </c>
      <c r="C14" s="114" t="inlineStr">
        <is>
          <t>2026 budget: $0.011/kWh on data center electricity, Jul 1 2026 to Jun 30 2028, capped at $600M/yr statewide.</t>
        </is>
      </c>
    </row>
    <row r="15">
      <c r="B15" s="113" t="inlineStr">
        <is>
          <t>Uptime Institute 2026</t>
        </is>
      </c>
      <c r="C15" s="114" t="inlineStr">
        <is>
          <t>16th Global Data Center Survey (Jul 2026): over half of operators struggle to fill positions.</t>
        </is>
      </c>
    </row>
  </sheetData>
  <mergeCells count="1">
    <mergeCell ref="B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2026-05-26T17:16:13Z</dcterms:created>
  <dcterms:modified xsi:type="dcterms:W3CDTF">2026-09-23T19:33:33Z</dcterms:modified>
  <cp:revision>0</cp:revision>
</cp:coreProperties>
</file>